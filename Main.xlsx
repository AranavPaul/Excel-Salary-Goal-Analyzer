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Excel\Excel Course Resource\Excel_Data_Analytics_Course-main\2_Formulas_Functions\"/>
    </mc:Choice>
  </mc:AlternateContent>
  <xr:revisionPtr revIDLastSave="0" documentId="13_ncr:1_{FD76F65C-7567-4100-B554-493B74B2A3E5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N5" i="1" s="1"/>
  <c r="O5" i="1" s="1"/>
  <c r="M10" i="1"/>
  <c r="L4" i="1"/>
  <c r="L5" i="1"/>
  <c r="L6" i="1"/>
  <c r="L7" i="1"/>
  <c r="L8" i="1"/>
  <c r="L9" i="1"/>
  <c r="L10" i="1"/>
  <c r="L11" i="1"/>
  <c r="L12" i="1"/>
  <c r="L3" i="1"/>
  <c r="K4" i="1"/>
  <c r="K5" i="1"/>
  <c r="K8" i="1"/>
  <c r="H9" i="1"/>
  <c r="I9" i="1" s="1"/>
  <c r="K11" i="1"/>
  <c r="K12" i="1"/>
  <c r="K3" i="1"/>
  <c r="K6" i="1"/>
  <c r="K7" i="1"/>
  <c r="K9" i="1"/>
  <c r="K10" i="1"/>
  <c r="H4" i="1"/>
  <c r="I4" i="1" s="1"/>
  <c r="H6" i="1"/>
  <c r="I6" i="1" s="1"/>
  <c r="H7" i="1"/>
  <c r="I7" i="1" s="1"/>
  <c r="H8" i="1"/>
  <c r="I8" i="1" s="1"/>
  <c r="J8" i="1" s="1"/>
  <c r="H10" i="1"/>
  <c r="I10" i="1" s="1"/>
  <c r="H12" i="1"/>
  <c r="I12" i="1" s="1"/>
  <c r="G4" i="1"/>
  <c r="M4" i="1" s="1"/>
  <c r="N4" i="1" s="1"/>
  <c r="O4" i="1" s="1"/>
  <c r="G5" i="1"/>
  <c r="G6" i="1"/>
  <c r="M6" i="1" s="1"/>
  <c r="N6" i="1" s="1"/>
  <c r="O6" i="1" s="1"/>
  <c r="G7" i="1"/>
  <c r="M7" i="1" s="1"/>
  <c r="N7" i="1" s="1"/>
  <c r="O7" i="1" s="1"/>
  <c r="G8" i="1"/>
  <c r="M8" i="1" s="1"/>
  <c r="G9" i="1"/>
  <c r="M9" i="1" s="1"/>
  <c r="G10" i="1"/>
  <c r="G12" i="1"/>
  <c r="M12" i="1" s="1"/>
  <c r="N12" i="1" s="1"/>
  <c r="O12" i="1" s="1"/>
  <c r="G3" i="1"/>
  <c r="M3" i="1" s="1"/>
  <c r="N3" i="1" s="1"/>
  <c r="O3" i="1" s="1"/>
  <c r="F4" i="1"/>
  <c r="F5" i="1"/>
  <c r="F6" i="1"/>
  <c r="F7" i="1"/>
  <c r="F8" i="1"/>
  <c r="F9" i="1"/>
  <c r="F10" i="1"/>
  <c r="F11" i="1"/>
  <c r="F12" i="1"/>
  <c r="F3" i="1"/>
  <c r="L4" i="4"/>
  <c r="L5" i="4"/>
  <c r="L6" i="4"/>
  <c r="L7" i="4"/>
  <c r="L8" i="4"/>
  <c r="L9" i="4"/>
  <c r="L10" i="4"/>
  <c r="L11" i="4"/>
  <c r="L12" i="4"/>
  <c r="L3" i="4"/>
  <c r="K12" i="4"/>
  <c r="H12" i="4"/>
  <c r="I12" i="4" s="1"/>
  <c r="G12" i="4"/>
  <c r="M12" i="4" s="1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M9" i="4" s="1"/>
  <c r="F9" i="4"/>
  <c r="K8" i="4"/>
  <c r="H8" i="4"/>
  <c r="I8" i="4" s="1"/>
  <c r="G8" i="4"/>
  <c r="M8" i="4" s="1"/>
  <c r="N8" i="4" s="1"/>
  <c r="F8" i="4"/>
  <c r="K7" i="4"/>
  <c r="H7" i="4"/>
  <c r="I7" i="4" s="1"/>
  <c r="G7" i="4"/>
  <c r="M7" i="4" s="1"/>
  <c r="O7" i="4" s="1"/>
  <c r="F7" i="4"/>
  <c r="K6" i="4"/>
  <c r="H6" i="4"/>
  <c r="I6" i="4" s="1"/>
  <c r="G6" i="4"/>
  <c r="M6" i="4" s="1"/>
  <c r="O6" i="4" s="1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M3" i="4" s="1"/>
  <c r="O3" i="4" s="1"/>
  <c r="F3" i="4"/>
  <c r="K4" i="3"/>
  <c r="K5" i="3"/>
  <c r="K6" i="3"/>
  <c r="K7" i="3"/>
  <c r="K8" i="3"/>
  <c r="K9" i="3"/>
  <c r="K10" i="3"/>
  <c r="K11" i="3"/>
  <c r="K12" i="3"/>
  <c r="K3" i="3"/>
  <c r="J9" i="3"/>
  <c r="H12" i="3"/>
  <c r="I12" i="3" s="1"/>
  <c r="G12" i="3"/>
  <c r="J12" i="3" s="1"/>
  <c r="F12" i="3"/>
  <c r="H11" i="3"/>
  <c r="I11" i="3" s="1"/>
  <c r="J11" i="3" s="1"/>
  <c r="G11" i="3"/>
  <c r="F11" i="3"/>
  <c r="H10" i="3"/>
  <c r="I10" i="3" s="1"/>
  <c r="G10" i="3"/>
  <c r="J10" i="3" s="1"/>
  <c r="F10" i="3"/>
  <c r="H9" i="3"/>
  <c r="I9" i="3" s="1"/>
  <c r="G9" i="3"/>
  <c r="F9" i="3"/>
  <c r="H8" i="3"/>
  <c r="I8" i="3" s="1"/>
  <c r="G8" i="3"/>
  <c r="J8" i="3" s="1"/>
  <c r="F8" i="3"/>
  <c r="H7" i="3"/>
  <c r="I7" i="3" s="1"/>
  <c r="G7" i="3"/>
  <c r="J7" i="3" s="1"/>
  <c r="F7" i="3"/>
  <c r="H6" i="3"/>
  <c r="I6" i="3" s="1"/>
  <c r="G6" i="3"/>
  <c r="J6" i="3" s="1"/>
  <c r="F6" i="3"/>
  <c r="H5" i="3"/>
  <c r="I5" i="3" s="1"/>
  <c r="J5" i="3" s="1"/>
  <c r="G5" i="3"/>
  <c r="F5" i="3"/>
  <c r="H4" i="3"/>
  <c r="I4" i="3" s="1"/>
  <c r="G4" i="3"/>
  <c r="J4" i="3" s="1"/>
  <c r="F4" i="3"/>
  <c r="H3" i="3"/>
  <c r="I3" i="3" s="1"/>
  <c r="J3" i="3" s="1"/>
  <c r="G3" i="3"/>
  <c r="F3" i="3"/>
  <c r="I6" i="2"/>
  <c r="I9" i="2"/>
  <c r="I10" i="2"/>
  <c r="H12" i="2"/>
  <c r="I12" i="2" s="1"/>
  <c r="H11" i="2"/>
  <c r="I11" i="2" s="1"/>
  <c r="H10" i="2"/>
  <c r="H9" i="2"/>
  <c r="H8" i="2"/>
  <c r="I8" i="2" s="1"/>
  <c r="H7" i="2"/>
  <c r="I7" i="2" s="1"/>
  <c r="H6" i="2"/>
  <c r="H5" i="2"/>
  <c r="I5" i="2" s="1"/>
  <c r="H4" i="2"/>
  <c r="I4" i="2" s="1"/>
  <c r="H3" i="2"/>
  <c r="I3" i="2" s="1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10" i="4" l="1"/>
  <c r="O12" i="4"/>
  <c r="N12" i="4"/>
  <c r="O11" i="4"/>
  <c r="O5" i="4"/>
  <c r="N10" i="1"/>
  <c r="O10" i="1" s="1"/>
  <c r="N8" i="1"/>
  <c r="O8" i="1" s="1"/>
  <c r="N9" i="1"/>
  <c r="O9" i="1" s="1"/>
  <c r="J7" i="1"/>
  <c r="J6" i="1"/>
  <c r="J12" i="1"/>
  <c r="J10" i="1"/>
  <c r="J4" i="1"/>
  <c r="J9" i="1"/>
  <c r="H5" i="1"/>
  <c r="I5" i="1" s="1"/>
  <c r="J5" i="1" s="1"/>
  <c r="G11" i="1"/>
  <c r="M11" i="1" s="1"/>
  <c r="N11" i="1" s="1"/>
  <c r="O11" i="1" s="1"/>
  <c r="H11" i="1"/>
  <c r="I11" i="1" s="1"/>
  <c r="H3" i="1"/>
  <c r="I3" i="1" s="1"/>
  <c r="J3" i="1" s="1"/>
  <c r="O4" i="4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  <c r="J11" i="1" l="1"/>
</calcChain>
</file>

<file path=xl/sharedStrings.xml><?xml version="1.0" encoding="utf-8"?>
<sst xmlns="http://schemas.openxmlformats.org/spreadsheetml/2006/main" count="120" uniqueCount="55">
  <si>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</si>
  <si>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</si>
  <si>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</si>
  <si>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</si>
  <si>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</si>
  <si>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</si>
  <si>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</si>
  <si>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</si>
  <si>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</si>
  <si>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</si>
  <si>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</si>
  <si>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</si>
  <si>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</si>
  <si>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</si>
  <si>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</si>
  <si>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</si>
  <si>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</si>
  <si>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</si>
  <si>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</si>
  <si>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</si>
  <si>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</si>
  <si>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</si>
  <si>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</si>
  <si>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</si>
  <si>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</si>
  <si>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</si>
  <si>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</si>
  <si>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</si>
  <si>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</si>
  <si>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</si>
  <si>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</si>
  <si>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</si>
  <si>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</si>
  <si>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</si>
  <si>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</si>
  <si>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</si>
  <si>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</si>
  <si>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</si>
  <si>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</si>
  <si>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</si>
  <si>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</si>
  <si>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</si>
  <si>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</si>
  <si>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</si>
  <si>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</si>
  <si>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</si>
  <si>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</si>
  <si>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</si>
  <si>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</si>
  <si>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</si>
  <si>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</si>
  <si>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</si>
  <si>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</si>
  <si>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Annual Salary (INR)</t>
  </si>
  <si>
    <t>Bonus Max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</si>
</sst>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 [$₹-4009]\ * #,##0.00_ ;_ [$₹-4009]\ * \-#,##0.00_ ;_ [$₹-4009]\ * &quot;-&quot;??_ ;_ @_ "/>
    <numFmt numFmtId="168" formatCode="_ [$₹-4009]\ * #,##0_ ;_ [$₹-4009]\ * \-#,##0_ ;_ [$₹-4009]\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5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 applyAlignment="1">
      <alignment horizontal="center" wrapText="1"/>
    </xf>
    <xf numFmtId="165" fontId="3" fillId="0" borderId="9" xfId="0" applyNumberFormat="1" applyFont="1" applyBorder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165" fontId="3" fillId="0" borderId="6" xfId="0" applyNumberFormat="1" applyFont="1" applyBorder="1"/>
    <xf numFmtId="168" fontId="3" fillId="0" borderId="0" xfId="0" applyNumberFormat="1" applyFont="1"/>
    <xf numFmtId="168" fontId="4" fillId="3" borderId="10" xfId="0" applyNumberFormat="1" applyFont="1" applyFill="1" applyBorder="1"/>
    <xf numFmtId="168" fontId="4" fillId="3" borderId="11" xfId="0" applyNumberFormat="1" applyFont="1" applyFill="1" applyBorder="1" applyAlignment="1">
      <alignment horizontal="center" wrapText="1"/>
    </xf>
    <xf numFmtId="168" fontId="3" fillId="0" borderId="1" xfId="0" applyNumberFormat="1" applyFont="1" applyBorder="1"/>
    <xf numFmtId="168" fontId="3" fillId="0" borderId="6" xfId="0" applyNumberFormat="1" applyFont="1" applyBorder="1"/>
    <xf numFmtId="168" fontId="3" fillId="0" borderId="8" xfId="0" applyNumberFormat="1" applyFont="1" applyBorder="1"/>
    <xf numFmtId="168" fontId="3" fillId="0" borderId="9" xfId="0" applyNumberFormat="1" applyFont="1" applyBorder="1"/>
    <xf numFmtId="168" fontId="4" fillId="0" borderId="0" xfId="0" applyNumberFormat="1" applyFont="1" applyAlignment="1">
      <alignment horizontal="center" wrapText="1"/>
    </xf>
    <xf numFmtId="168" fontId="3" fillId="0" borderId="12" xfId="0" applyNumberFormat="1" applyFont="1" applyBorder="1"/>
    <xf numFmtId="165" fontId="3" fillId="0" borderId="0" xfId="1" applyNumberFormat="1" applyFont="1" applyAlignment="1"/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65" fontId="4" fillId="2" borderId="15" xfId="0" applyNumberFormat="1" applyFont="1" applyFill="1" applyBorder="1" applyAlignment="1">
      <alignment horizontal="center" wrapText="1"/>
    </xf>
    <xf numFmtId="165" fontId="4" fillId="2" borderId="11" xfId="0" applyNumberFormat="1" applyFont="1" applyFill="1" applyBorder="1" applyAlignment="1">
      <alignment horizontal="center" wrapText="1"/>
    </xf>
    <xf numFmtId="165" fontId="3" fillId="0" borderId="2" xfId="0" applyNumberFormat="1" applyFont="1" applyBorder="1"/>
    <xf numFmtId="165" fontId="3" fillId="0" borderId="4" xfId="0" applyNumberFormat="1" applyFont="1" applyBorder="1"/>
    <xf numFmtId="165" fontId="3" fillId="0" borderId="5" xfId="0" applyNumberFormat="1" applyFont="1" applyBorder="1"/>
    <xf numFmtId="165" fontId="3" fillId="0" borderId="7" xfId="0" applyNumberFormat="1" applyFont="1" applyBorder="1"/>
    <xf numFmtId="0" fontId="4" fillId="2" borderId="16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2" borderId="11" xfId="0" applyFont="1" applyFill="1" applyBorder="1" applyAlignment="1">
      <alignment horizontal="center" wrapText="1"/>
    </xf>
    <xf numFmtId="0" fontId="4" fillId="0" borderId="18" xfId="0" applyFont="1" applyBorder="1"/>
    <xf numFmtId="0" fontId="3" fillId="0" borderId="1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08" zoomScaleNormal="120" workbookViewId="0">
      <selection activeCell="G17" sqref="G17"/>
    </sheetView>
  </sheetViews>
  <sheetFormatPr defaultColWidth="9" defaultRowHeight="14.4" x14ac:dyDescent="0.3"/>
  <cols>
    <col min="1" max="1" width="5.109375" style="4" customWidth="1"/>
    <col min="2" max="2" width="24.44140625" style="4" bestFit="1" customWidth="1"/>
    <col min="3" max="3" width="17.33203125" style="4" bestFit="1" customWidth="1"/>
    <col min="4" max="4" width="19.33203125" style="33" bestFit="1" customWidth="1"/>
    <col min="5" max="5" width="17" style="33" bestFit="1" customWidth="1"/>
    <col min="6" max="6" width="13.109375" style="4" bestFit="1" customWidth="1"/>
    <col min="7" max="7" width="17" style="33" bestFit="1" customWidth="1"/>
    <col min="8" max="8" width="8.77734375" style="4" customWidth="1"/>
    <col min="9" max="9" width="18.6640625" style="33" bestFit="1" customWidth="1"/>
    <col min="10" max="10" width="9" style="4" customWidth="1"/>
    <col min="11" max="11" width="8.88671875" style="4" customWidth="1"/>
    <col min="12" max="12" width="17.88671875" style="4" bestFit="1" customWidth="1"/>
    <col min="13" max="13" width="9" style="4" customWidth="1"/>
    <col min="14" max="14" width="17.77734375" style="4" bestFit="1" customWidth="1"/>
    <col min="15" max="16384" width="9" style="4"/>
  </cols>
  <sheetData>
    <row r="1" spans="2:15" ht="15" thickBot="1" x14ac:dyDescent="0.35"/>
    <row r="2" spans="2:15" ht="27.75" customHeight="1" x14ac:dyDescent="0.3">
      <c r="B2" s="30" t="s">
        <v>10</v>
      </c>
      <c r="C2" s="31" t="s">
        <v>12</v>
      </c>
      <c r="D2" s="34" t="s">
        <v>53</v>
      </c>
      <c r="E2" s="35" t="s">
        <v>54</v>
      </c>
      <c r="F2" s="20" t="s">
        <v>15</v>
      </c>
      <c r="G2" s="40" t="s">
        <v>14</v>
      </c>
      <c r="H2" s="20" t="s">
        <v>16</v>
      </c>
      <c r="I2" s="40" t="s">
        <v>31</v>
      </c>
      <c r="J2" s="20" t="s">
        <v>45</v>
      </c>
      <c r="K2" s="20" t="s">
        <v>32</v>
      </c>
      <c r="L2" s="20" t="s">
        <v>47</v>
      </c>
      <c r="M2" s="20" t="s">
        <v>46</v>
      </c>
      <c r="N2" s="20" t="s">
        <v>52</v>
      </c>
      <c r="O2" s="20" t="s">
        <v>50</v>
      </c>
    </row>
    <row r="3" spans="2:15" x14ac:dyDescent="0.3">
      <c r="B3" s="5" t="s">
        <v>0</v>
      </c>
      <c r="C3" s="6">
        <v>5</v>
      </c>
      <c r="D3" s="36">
        <v>10800000</v>
      </c>
      <c r="E3" s="37">
        <v>900000</v>
      </c>
      <c r="F3" s="4">
        <f>C3</f>
        <v>5</v>
      </c>
      <c r="G3" s="33">
        <f>D3+E3</f>
        <v>11700000</v>
      </c>
      <c r="H3" s="26">
        <f>E3/D3</f>
        <v>8.3333333333333329E-2</v>
      </c>
      <c r="I3" s="33">
        <f>H3*D3+D3</f>
        <v>11700000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$G3&gt;=C$16</f>
        <v>1</v>
      </c>
      <c r="N3" s="4">
        <f>L3*M3</f>
        <v>0</v>
      </c>
      <c r="O3" s="4" t="b">
        <f>N3=1</f>
        <v>0</v>
      </c>
    </row>
    <row r="4" spans="2:15" x14ac:dyDescent="0.3">
      <c r="B4" s="5" t="s">
        <v>1</v>
      </c>
      <c r="C4" s="6">
        <v>4</v>
      </c>
      <c r="D4" s="36">
        <v>12150000</v>
      </c>
      <c r="E4" s="37">
        <v>1080000</v>
      </c>
      <c r="F4" s="4">
        <f t="shared" ref="F4:F12" si="0">C4</f>
        <v>4</v>
      </c>
      <c r="G4" s="33">
        <f t="shared" ref="G4:G12" si="1">D4+E4</f>
        <v>13230000</v>
      </c>
      <c r="H4" s="26">
        <f t="shared" ref="H4:H12" si="2">E4/D4</f>
        <v>8.8888888888888892E-2</v>
      </c>
      <c r="I4" s="33">
        <f t="shared" ref="I4:I12" si="3">H4*D4+D4</f>
        <v>13230000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3:M11" si="7">$G4&gt;=C$16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">
      <c r="B5" s="5" t="s">
        <v>2</v>
      </c>
      <c r="C5" s="6">
        <v>2</v>
      </c>
      <c r="D5" s="36">
        <v>6750000</v>
      </c>
      <c r="E5" s="37">
        <v>450000</v>
      </c>
      <c r="F5" s="4">
        <f t="shared" si="0"/>
        <v>2</v>
      </c>
      <c r="G5" s="33">
        <f t="shared" si="1"/>
        <v>7200000</v>
      </c>
      <c r="H5" s="26">
        <f t="shared" si="2"/>
        <v>6.6666666666666666E-2</v>
      </c>
      <c r="I5" s="33">
        <f t="shared" si="3"/>
        <v>7200000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5" t="s">
        <v>3</v>
      </c>
      <c r="C6" s="6">
        <v>6</v>
      </c>
      <c r="D6" s="36">
        <v>9900000</v>
      </c>
      <c r="E6" s="37">
        <v>720000</v>
      </c>
      <c r="F6" s="4">
        <f t="shared" si="0"/>
        <v>6</v>
      </c>
      <c r="G6" s="33">
        <f t="shared" si="1"/>
        <v>10620000</v>
      </c>
      <c r="H6" s="26">
        <f t="shared" si="2"/>
        <v>7.2727272727272724E-2</v>
      </c>
      <c r="I6" s="33">
        <f t="shared" si="3"/>
        <v>10620000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5" t="s">
        <v>4</v>
      </c>
      <c r="C7" s="6">
        <v>3</v>
      </c>
      <c r="D7" s="36">
        <v>11250000</v>
      </c>
      <c r="E7" s="37">
        <v>990000</v>
      </c>
      <c r="F7" s="4">
        <f t="shared" si="0"/>
        <v>3</v>
      </c>
      <c r="G7" s="33">
        <f t="shared" si="1"/>
        <v>12240000</v>
      </c>
      <c r="H7" s="26">
        <f t="shared" si="2"/>
        <v>8.7999999999999995E-2</v>
      </c>
      <c r="I7" s="33">
        <f t="shared" si="3"/>
        <v>12240000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5" t="s">
        <v>5</v>
      </c>
      <c r="C8" s="6">
        <v>7</v>
      </c>
      <c r="D8" s="36">
        <v>8100000</v>
      </c>
      <c r="E8" s="37">
        <v>630000</v>
      </c>
      <c r="F8" s="4">
        <f t="shared" si="0"/>
        <v>7</v>
      </c>
      <c r="G8" s="33">
        <f t="shared" si="1"/>
        <v>8730000</v>
      </c>
      <c r="H8" s="26">
        <f t="shared" si="2"/>
        <v>7.7777777777777779E-2</v>
      </c>
      <c r="I8" s="33">
        <f t="shared" si="3"/>
        <v>8730000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5" t="s">
        <v>6</v>
      </c>
      <c r="C9" s="6">
        <v>10</v>
      </c>
      <c r="D9" s="36">
        <v>13500000</v>
      </c>
      <c r="E9" s="37">
        <v>1350000</v>
      </c>
      <c r="F9" s="4">
        <f t="shared" si="0"/>
        <v>10</v>
      </c>
      <c r="G9" s="33">
        <f t="shared" si="1"/>
        <v>14850000</v>
      </c>
      <c r="H9" s="26">
        <f t="shared" si="2"/>
        <v>0.1</v>
      </c>
      <c r="I9" s="33">
        <f t="shared" si="3"/>
        <v>14850000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5" t="s">
        <v>7</v>
      </c>
      <c r="C10" s="6">
        <v>8</v>
      </c>
      <c r="D10" s="36">
        <v>11700000</v>
      </c>
      <c r="E10" s="37">
        <v>1170000</v>
      </c>
      <c r="F10" s="4">
        <f t="shared" si="0"/>
        <v>8</v>
      </c>
      <c r="G10" s="33">
        <f t="shared" si="1"/>
        <v>12870000</v>
      </c>
      <c r="H10" s="26">
        <f t="shared" si="2"/>
        <v>0.1</v>
      </c>
      <c r="I10" s="33">
        <f t="shared" si="3"/>
        <v>12870000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5" t="s">
        <v>8</v>
      </c>
      <c r="C11" s="6">
        <v>3</v>
      </c>
      <c r="D11" s="36">
        <v>12600000</v>
      </c>
      <c r="E11" s="37">
        <v>1260000</v>
      </c>
      <c r="F11" s="4">
        <f t="shared" si="0"/>
        <v>3</v>
      </c>
      <c r="G11" s="33">
        <f t="shared" si="1"/>
        <v>13860000</v>
      </c>
      <c r="H11" s="26">
        <f t="shared" si="2"/>
        <v>0.1</v>
      </c>
      <c r="I11" s="33">
        <f t="shared" si="3"/>
        <v>13860000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8" t="s">
        <v>9</v>
      </c>
      <c r="C12" s="9">
        <v>5</v>
      </c>
      <c r="D12" s="38">
        <v>10350000</v>
      </c>
      <c r="E12" s="39">
        <v>810000</v>
      </c>
      <c r="F12" s="4">
        <f t="shared" si="0"/>
        <v>5</v>
      </c>
      <c r="G12" s="33">
        <f t="shared" si="1"/>
        <v>11160000</v>
      </c>
      <c r="H12" s="26">
        <f t="shared" si="2"/>
        <v>7.8260869565217397E-2</v>
      </c>
      <c r="I12" s="33">
        <f t="shared" si="3"/>
        <v>11160000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>$G12&gt;=C$16</f>
        <v>1</v>
      </c>
      <c r="N12" s="4">
        <f t="shared" si="8"/>
        <v>0</v>
      </c>
      <c r="O12" s="4" t="b">
        <f t="shared" si="9"/>
        <v>0</v>
      </c>
    </row>
    <row r="14" spans="2:15" ht="15" thickBot="1" x14ac:dyDescent="0.35">
      <c r="B14" s="25" t="s">
        <v>51</v>
      </c>
    </row>
    <row r="15" spans="2:15" x14ac:dyDescent="0.3">
      <c r="B15" s="22" t="s">
        <v>48</v>
      </c>
      <c r="C15" s="23">
        <v>6</v>
      </c>
    </row>
    <row r="16" spans="2:15" ht="15" thickBot="1" x14ac:dyDescent="0.35">
      <c r="B16" s="24" t="s">
        <v>49</v>
      </c>
      <c r="C16" s="41">
        <v>8100000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4"/>
  <sheetViews>
    <sheetView zoomScale="120" zoomScaleNormal="120" workbookViewId="0">
      <selection activeCell="D20" sqref="D20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9.5546875" style="27" bestFit="1" customWidth="1"/>
    <col min="5" max="5" width="17.33203125" style="27" bestFit="1" customWidth="1"/>
    <col min="6" max="6" width="10.5546875" style="4" customWidth="1"/>
    <col min="7" max="7" width="15.44140625" style="27" bestFit="1" customWidth="1"/>
    <col min="8" max="8" width="11" style="4" customWidth="1"/>
    <col min="9" max="9" width="18.77734375" style="27" bestFit="1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1" customFormat="1" ht="27.75" customHeight="1" thickBot="1" x14ac:dyDescent="0.35">
      <c r="B2" s="51" t="s">
        <v>10</v>
      </c>
      <c r="C2" s="52" t="s">
        <v>12</v>
      </c>
      <c r="D2" s="45" t="s">
        <v>53</v>
      </c>
      <c r="E2" s="46" t="s">
        <v>54</v>
      </c>
      <c r="F2" s="20" t="s">
        <v>15</v>
      </c>
      <c r="G2" s="28" t="s">
        <v>14</v>
      </c>
      <c r="H2" s="20" t="s">
        <v>16</v>
      </c>
      <c r="I2" s="28" t="s">
        <v>31</v>
      </c>
      <c r="K2" s="16" t="s">
        <v>17</v>
      </c>
      <c r="L2" s="17" t="s">
        <v>18</v>
      </c>
    </row>
    <row r="3" spans="2:12" x14ac:dyDescent="0.3">
      <c r="B3" s="53" t="s">
        <v>0</v>
      </c>
      <c r="C3" s="54">
        <v>5</v>
      </c>
      <c r="D3" s="47">
        <v>10800000</v>
      </c>
      <c r="E3" s="48">
        <v>900000</v>
      </c>
      <c r="F3" s="4">
        <f>C3</f>
        <v>5</v>
      </c>
      <c r="G3" s="27">
        <f>D3+E3</f>
        <v>11700000</v>
      </c>
      <c r="H3" s="12">
        <f>E3/D3</f>
        <v>8.3333333333333329E-2</v>
      </c>
      <c r="I3" s="42">
        <f>D3+D3*H3</f>
        <v>11700000</v>
      </c>
      <c r="K3" s="18" t="s">
        <v>19</v>
      </c>
      <c r="L3" s="2" t="s">
        <v>20</v>
      </c>
    </row>
    <row r="4" spans="2:12" x14ac:dyDescent="0.3">
      <c r="B4" s="5" t="s">
        <v>1</v>
      </c>
      <c r="C4" s="7">
        <v>4</v>
      </c>
      <c r="D4" s="49">
        <v>12150000</v>
      </c>
      <c r="E4" s="32">
        <v>1080000</v>
      </c>
      <c r="F4" s="4">
        <f t="shared" ref="F4:F12" si="0">C4</f>
        <v>4</v>
      </c>
      <c r="G4" s="27">
        <f t="shared" ref="G4:G12" si="1">D4+E4</f>
        <v>13230000</v>
      </c>
      <c r="H4" s="12">
        <f t="shared" ref="H4:H12" si="2">E4/D4</f>
        <v>8.8888888888888892E-2</v>
      </c>
      <c r="I4" s="42">
        <f t="shared" ref="I4:I12" si="3">D4+D4*H4</f>
        <v>13230000</v>
      </c>
      <c r="K4" s="18" t="s">
        <v>21</v>
      </c>
      <c r="L4" s="2" t="s">
        <v>22</v>
      </c>
    </row>
    <row r="5" spans="2:12" x14ac:dyDescent="0.3">
      <c r="B5" s="5" t="s">
        <v>2</v>
      </c>
      <c r="C5" s="7">
        <v>2</v>
      </c>
      <c r="D5" s="49">
        <v>6750000</v>
      </c>
      <c r="E5" s="32">
        <v>450000</v>
      </c>
      <c r="F5" s="4">
        <f t="shared" si="0"/>
        <v>2</v>
      </c>
      <c r="G5" s="27">
        <f t="shared" si="1"/>
        <v>7200000</v>
      </c>
      <c r="H5" s="12">
        <f t="shared" si="2"/>
        <v>6.6666666666666666E-2</v>
      </c>
      <c r="I5" s="42">
        <f t="shared" si="3"/>
        <v>7200000</v>
      </c>
      <c r="K5" s="18" t="s">
        <v>23</v>
      </c>
      <c r="L5" s="2" t="s">
        <v>24</v>
      </c>
    </row>
    <row r="6" spans="2:12" x14ac:dyDescent="0.3">
      <c r="B6" s="5" t="s">
        <v>3</v>
      </c>
      <c r="C6" s="7">
        <v>6</v>
      </c>
      <c r="D6" s="49">
        <v>9900000</v>
      </c>
      <c r="E6" s="32">
        <v>720000</v>
      </c>
      <c r="F6" s="4">
        <f t="shared" si="0"/>
        <v>6</v>
      </c>
      <c r="G6" s="27">
        <f t="shared" si="1"/>
        <v>10620000</v>
      </c>
      <c r="H6" s="12">
        <f t="shared" si="2"/>
        <v>7.2727272727272724E-2</v>
      </c>
      <c r="I6" s="42">
        <f t="shared" si="3"/>
        <v>10620000</v>
      </c>
      <c r="K6" s="18" t="s">
        <v>25</v>
      </c>
      <c r="L6" s="2" t="s">
        <v>26</v>
      </c>
    </row>
    <row r="7" spans="2:12" x14ac:dyDescent="0.3">
      <c r="B7" s="5" t="s">
        <v>4</v>
      </c>
      <c r="C7" s="7">
        <v>3</v>
      </c>
      <c r="D7" s="49">
        <v>11250000</v>
      </c>
      <c r="E7" s="32">
        <v>990000</v>
      </c>
      <c r="F7" s="4">
        <f t="shared" si="0"/>
        <v>3</v>
      </c>
      <c r="G7" s="27">
        <f t="shared" si="1"/>
        <v>12240000</v>
      </c>
      <c r="H7" s="12">
        <f t="shared" si="2"/>
        <v>8.7999999999999995E-2</v>
      </c>
      <c r="I7" s="42">
        <f t="shared" si="3"/>
        <v>12240000</v>
      </c>
      <c r="K7" s="18" t="s">
        <v>27</v>
      </c>
      <c r="L7" s="2" t="s">
        <v>28</v>
      </c>
    </row>
    <row r="8" spans="2:12" ht="15" thickBot="1" x14ac:dyDescent="0.35">
      <c r="B8" s="5" t="s">
        <v>5</v>
      </c>
      <c r="C8" s="7">
        <v>7</v>
      </c>
      <c r="D8" s="49">
        <v>8100000</v>
      </c>
      <c r="E8" s="32">
        <v>630000</v>
      </c>
      <c r="F8" s="4">
        <f t="shared" si="0"/>
        <v>7</v>
      </c>
      <c r="G8" s="27">
        <f t="shared" si="1"/>
        <v>8730000</v>
      </c>
      <c r="H8" s="12">
        <f t="shared" si="2"/>
        <v>7.7777777777777779E-2</v>
      </c>
      <c r="I8" s="42">
        <f t="shared" si="3"/>
        <v>8730000</v>
      </c>
      <c r="K8" s="19" t="s">
        <v>29</v>
      </c>
      <c r="L8" s="3" t="s">
        <v>30</v>
      </c>
    </row>
    <row r="9" spans="2:12" x14ac:dyDescent="0.3">
      <c r="B9" s="5" t="s">
        <v>6</v>
      </c>
      <c r="C9" s="7">
        <v>10</v>
      </c>
      <c r="D9" s="49">
        <v>13500000</v>
      </c>
      <c r="E9" s="32">
        <v>1350000</v>
      </c>
      <c r="F9" s="4">
        <f t="shared" si="0"/>
        <v>10</v>
      </c>
      <c r="G9" s="27">
        <f t="shared" si="1"/>
        <v>14850000</v>
      </c>
      <c r="H9" s="12">
        <f t="shared" si="2"/>
        <v>0.1</v>
      </c>
      <c r="I9" s="42">
        <f t="shared" si="3"/>
        <v>14850000</v>
      </c>
    </row>
    <row r="10" spans="2:12" x14ac:dyDescent="0.3">
      <c r="B10" s="5" t="s">
        <v>7</v>
      </c>
      <c r="C10" s="7">
        <v>8</v>
      </c>
      <c r="D10" s="49">
        <v>11700000</v>
      </c>
      <c r="E10" s="32">
        <v>1170000</v>
      </c>
      <c r="F10" s="4">
        <f t="shared" si="0"/>
        <v>8</v>
      </c>
      <c r="G10" s="27">
        <f t="shared" si="1"/>
        <v>12870000</v>
      </c>
      <c r="H10" s="12">
        <f t="shared" si="2"/>
        <v>0.1</v>
      </c>
      <c r="I10" s="42">
        <f t="shared" si="3"/>
        <v>12870000</v>
      </c>
    </row>
    <row r="11" spans="2:12" x14ac:dyDescent="0.3">
      <c r="B11" s="5" t="s">
        <v>8</v>
      </c>
      <c r="C11" s="7">
        <v>3</v>
      </c>
      <c r="D11" s="49">
        <v>12600000</v>
      </c>
      <c r="E11" s="32">
        <v>1260000</v>
      </c>
      <c r="F11" s="4">
        <f t="shared" si="0"/>
        <v>3</v>
      </c>
      <c r="G11" s="27">
        <f t="shared" si="1"/>
        <v>13860000</v>
      </c>
      <c r="H11" s="12">
        <f t="shared" si="2"/>
        <v>0.1</v>
      </c>
      <c r="I11" s="42">
        <f t="shared" si="3"/>
        <v>13860000</v>
      </c>
    </row>
    <row r="12" spans="2:12" ht="15" thickBot="1" x14ac:dyDescent="0.35">
      <c r="B12" s="8" t="s">
        <v>9</v>
      </c>
      <c r="C12" s="10">
        <v>5</v>
      </c>
      <c r="D12" s="50">
        <v>10350000</v>
      </c>
      <c r="E12" s="29">
        <v>810000</v>
      </c>
      <c r="F12" s="4">
        <f t="shared" si="0"/>
        <v>5</v>
      </c>
      <c r="G12" s="27">
        <f t="shared" si="1"/>
        <v>11160000</v>
      </c>
      <c r="H12" s="12">
        <f t="shared" si="2"/>
        <v>7.8260869565217397E-2</v>
      </c>
      <c r="I12" s="42">
        <f t="shared" si="3"/>
        <v>11160000</v>
      </c>
    </row>
    <row r="14" spans="2:12" x14ac:dyDescent="0.3">
      <c r="F14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I16" sqref="I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9.5546875" style="27" bestFit="1" customWidth="1"/>
    <col min="5" max="5" width="17.33203125" style="27" bestFit="1" customWidth="1"/>
    <col min="6" max="6" width="12.88671875" style="4" hidden="1" customWidth="1"/>
    <col min="7" max="7" width="15.44140625" style="27" bestFit="1" customWidth="1"/>
    <col min="8" max="8" width="11" style="4" hidden="1" customWidth="1"/>
    <col min="9" max="9" width="18.77734375" style="27" bestFit="1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1" customFormat="1" ht="27.75" customHeight="1" thickBot="1" x14ac:dyDescent="0.35">
      <c r="B2" s="51" t="s">
        <v>10</v>
      </c>
      <c r="C2" s="52" t="s">
        <v>12</v>
      </c>
      <c r="D2" s="45" t="s">
        <v>53</v>
      </c>
      <c r="E2" s="46" t="s">
        <v>54</v>
      </c>
      <c r="F2" s="20" t="s">
        <v>15</v>
      </c>
      <c r="G2" s="28" t="s">
        <v>14</v>
      </c>
      <c r="H2" s="20" t="s">
        <v>16</v>
      </c>
      <c r="I2" s="28" t="s">
        <v>31</v>
      </c>
      <c r="J2" s="20" t="s">
        <v>45</v>
      </c>
      <c r="K2" s="20" t="s">
        <v>32</v>
      </c>
      <c r="M2" s="13" t="s">
        <v>17</v>
      </c>
      <c r="N2" s="14" t="s">
        <v>18</v>
      </c>
    </row>
    <row r="3" spans="2:14" x14ac:dyDescent="0.3">
      <c r="B3" s="53" t="s">
        <v>0</v>
      </c>
      <c r="C3" s="55">
        <v>5</v>
      </c>
      <c r="D3" s="47">
        <v>10800000</v>
      </c>
      <c r="E3" s="48">
        <v>900000</v>
      </c>
      <c r="F3" s="4">
        <f>C3</f>
        <v>5</v>
      </c>
      <c r="G3" s="27">
        <f>D3+E3</f>
        <v>11700000</v>
      </c>
      <c r="H3" s="12">
        <f>E3/D3</f>
        <v>8.3333333333333329E-2</v>
      </c>
      <c r="I3" s="42">
        <f>D3+D3*H3</f>
        <v>11700000</v>
      </c>
      <c r="J3" s="4" t="b">
        <f>G3=I3</f>
        <v>1</v>
      </c>
      <c r="K3" s="4" t="b">
        <f>E3&gt;D3</f>
        <v>0</v>
      </c>
      <c r="M3" s="15" t="s">
        <v>33</v>
      </c>
      <c r="N3" s="1" t="s">
        <v>34</v>
      </c>
    </row>
    <row r="4" spans="2:14" x14ac:dyDescent="0.3">
      <c r="B4" s="5" t="s">
        <v>1</v>
      </c>
      <c r="C4" s="43">
        <v>4</v>
      </c>
      <c r="D4" s="49">
        <v>12150000</v>
      </c>
      <c r="E4" s="32">
        <v>1080000</v>
      </c>
      <c r="F4" s="4">
        <f t="shared" ref="F4:F12" si="0">C4</f>
        <v>4</v>
      </c>
      <c r="G4" s="27">
        <f t="shared" ref="G4:G12" si="1">D4+E4</f>
        <v>13230000</v>
      </c>
      <c r="H4" s="12">
        <f t="shared" ref="H4:H12" si="2">E4/D4</f>
        <v>8.8888888888888892E-2</v>
      </c>
      <c r="I4" s="42">
        <f t="shared" ref="I4:I12" si="3">D4+D4*H4</f>
        <v>13230000</v>
      </c>
      <c r="J4" s="4" t="b">
        <f t="shared" ref="J4:J12" si="4">G4=I4</f>
        <v>1</v>
      </c>
      <c r="K4" s="4" t="b">
        <f t="shared" ref="K4:K12" si="5">E4&gt;D4</f>
        <v>0</v>
      </c>
      <c r="M4" s="15" t="s">
        <v>35</v>
      </c>
      <c r="N4" s="1" t="s">
        <v>36</v>
      </c>
    </row>
    <row r="5" spans="2:14" x14ac:dyDescent="0.3">
      <c r="B5" s="5" t="s">
        <v>2</v>
      </c>
      <c r="C5" s="43">
        <v>2</v>
      </c>
      <c r="D5" s="49">
        <v>6750000</v>
      </c>
      <c r="E5" s="32">
        <v>450000</v>
      </c>
      <c r="F5" s="4">
        <f t="shared" si="0"/>
        <v>2</v>
      </c>
      <c r="G5" s="27">
        <f t="shared" si="1"/>
        <v>7200000</v>
      </c>
      <c r="H5" s="12">
        <f t="shared" si="2"/>
        <v>6.6666666666666666E-2</v>
      </c>
      <c r="I5" s="42">
        <f t="shared" si="3"/>
        <v>7200000</v>
      </c>
      <c r="J5" s="4" t="b">
        <f t="shared" si="4"/>
        <v>1</v>
      </c>
      <c r="K5" s="4" t="b">
        <f t="shared" si="5"/>
        <v>0</v>
      </c>
      <c r="M5" s="15" t="s">
        <v>37</v>
      </c>
      <c r="N5" s="1" t="s">
        <v>38</v>
      </c>
    </row>
    <row r="6" spans="2:14" x14ac:dyDescent="0.3">
      <c r="B6" s="5" t="s">
        <v>3</v>
      </c>
      <c r="C6" s="43">
        <v>6</v>
      </c>
      <c r="D6" s="49">
        <v>9900000</v>
      </c>
      <c r="E6" s="32">
        <v>720000</v>
      </c>
      <c r="F6" s="4">
        <f t="shared" si="0"/>
        <v>6</v>
      </c>
      <c r="G6" s="27">
        <f t="shared" si="1"/>
        <v>10620000</v>
      </c>
      <c r="H6" s="12">
        <f t="shared" si="2"/>
        <v>7.2727272727272724E-2</v>
      </c>
      <c r="I6" s="42">
        <f t="shared" si="3"/>
        <v>10620000</v>
      </c>
      <c r="J6" s="4" t="b">
        <f t="shared" si="4"/>
        <v>1</v>
      </c>
      <c r="K6" s="4" t="b">
        <f t="shared" si="5"/>
        <v>0</v>
      </c>
      <c r="M6" s="15" t="s">
        <v>39</v>
      </c>
      <c r="N6" s="1" t="s">
        <v>40</v>
      </c>
    </row>
    <row r="7" spans="2:14" x14ac:dyDescent="0.3">
      <c r="B7" s="5" t="s">
        <v>4</v>
      </c>
      <c r="C7" s="43">
        <v>3</v>
      </c>
      <c r="D7" s="49">
        <v>11250000</v>
      </c>
      <c r="E7" s="32">
        <v>990000</v>
      </c>
      <c r="F7" s="4">
        <f t="shared" si="0"/>
        <v>3</v>
      </c>
      <c r="G7" s="27">
        <f t="shared" si="1"/>
        <v>12240000</v>
      </c>
      <c r="H7" s="12">
        <f t="shared" si="2"/>
        <v>8.7999999999999995E-2</v>
      </c>
      <c r="I7" s="42">
        <f t="shared" si="3"/>
        <v>12240000</v>
      </c>
      <c r="J7" s="4" t="b">
        <f t="shared" si="4"/>
        <v>1</v>
      </c>
      <c r="K7" s="4" t="b">
        <f t="shared" si="5"/>
        <v>0</v>
      </c>
      <c r="M7" s="15" t="s">
        <v>41</v>
      </c>
      <c r="N7" s="1" t="s">
        <v>42</v>
      </c>
    </row>
    <row r="8" spans="2:14" x14ac:dyDescent="0.3">
      <c r="B8" s="5" t="s">
        <v>5</v>
      </c>
      <c r="C8" s="43">
        <v>7</v>
      </c>
      <c r="D8" s="49">
        <v>8100000</v>
      </c>
      <c r="E8" s="32">
        <v>630000</v>
      </c>
      <c r="F8" s="4">
        <f t="shared" si="0"/>
        <v>7</v>
      </c>
      <c r="G8" s="27">
        <f t="shared" si="1"/>
        <v>8730000</v>
      </c>
      <c r="H8" s="12">
        <f t="shared" si="2"/>
        <v>7.7777777777777779E-2</v>
      </c>
      <c r="I8" s="42">
        <f t="shared" si="3"/>
        <v>8730000</v>
      </c>
      <c r="J8" s="4" t="b">
        <f t="shared" si="4"/>
        <v>1</v>
      </c>
      <c r="K8" s="4" t="b">
        <f t="shared" si="5"/>
        <v>0</v>
      </c>
      <c r="M8" s="15" t="s">
        <v>43</v>
      </c>
      <c r="N8" s="1" t="s">
        <v>44</v>
      </c>
    </row>
    <row r="9" spans="2:14" x14ac:dyDescent="0.3">
      <c r="B9" s="5" t="s">
        <v>6</v>
      </c>
      <c r="C9" s="43">
        <v>10</v>
      </c>
      <c r="D9" s="49">
        <v>13500000</v>
      </c>
      <c r="E9" s="32">
        <v>1350000</v>
      </c>
      <c r="F9" s="4">
        <f t="shared" si="0"/>
        <v>10</v>
      </c>
      <c r="G9" s="27">
        <f t="shared" si="1"/>
        <v>14850000</v>
      </c>
      <c r="H9" s="12">
        <f t="shared" si="2"/>
        <v>0.1</v>
      </c>
      <c r="I9" s="42">
        <f t="shared" si="3"/>
        <v>14850000</v>
      </c>
      <c r="J9" s="4" t="b">
        <f t="shared" si="4"/>
        <v>1</v>
      </c>
      <c r="K9" s="4" t="b">
        <f t="shared" si="5"/>
        <v>0</v>
      </c>
    </row>
    <row r="10" spans="2:14" x14ac:dyDescent="0.3">
      <c r="B10" s="5" t="s">
        <v>7</v>
      </c>
      <c r="C10" s="43">
        <v>8</v>
      </c>
      <c r="D10" s="49">
        <v>11700000</v>
      </c>
      <c r="E10" s="32">
        <v>1170000</v>
      </c>
      <c r="F10" s="4">
        <f t="shared" si="0"/>
        <v>8</v>
      </c>
      <c r="G10" s="27">
        <f t="shared" si="1"/>
        <v>12870000</v>
      </c>
      <c r="H10" s="12">
        <f t="shared" si="2"/>
        <v>0.1</v>
      </c>
      <c r="I10" s="42">
        <f t="shared" si="3"/>
        <v>12870000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5" t="s">
        <v>8</v>
      </c>
      <c r="C11" s="43">
        <v>3</v>
      </c>
      <c r="D11" s="49">
        <v>12600000</v>
      </c>
      <c r="E11" s="32">
        <v>1260000</v>
      </c>
      <c r="F11" s="4">
        <f t="shared" si="0"/>
        <v>3</v>
      </c>
      <c r="G11" s="27">
        <f t="shared" si="1"/>
        <v>13860000</v>
      </c>
      <c r="H11" s="12">
        <f t="shared" si="2"/>
        <v>0.1</v>
      </c>
      <c r="I11" s="42">
        <f t="shared" si="3"/>
        <v>13860000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8" t="s">
        <v>9</v>
      </c>
      <c r="C12" s="44">
        <v>5</v>
      </c>
      <c r="D12" s="50">
        <v>10350000</v>
      </c>
      <c r="E12" s="29">
        <v>810000</v>
      </c>
      <c r="F12" s="4">
        <f t="shared" si="0"/>
        <v>5</v>
      </c>
      <c r="G12" s="27">
        <f t="shared" si="1"/>
        <v>11160000</v>
      </c>
      <c r="H12" s="12">
        <f t="shared" si="2"/>
        <v>7.8260869565217397E-2</v>
      </c>
      <c r="I12" s="42">
        <f t="shared" si="3"/>
        <v>11160000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E15" sqref="E15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7.109375" style="4" bestFit="1" customWidth="1"/>
    <col min="4" max="4" width="19.109375" style="4" bestFit="1" customWidth="1"/>
    <col min="5" max="5" width="16.77734375" style="4" bestFit="1" customWidth="1"/>
    <col min="6" max="6" width="12.88671875" style="4" bestFit="1" customWidth="1"/>
    <col min="7" max="7" width="15.44140625" style="4" bestFit="1" customWidth="1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1" customFormat="1" ht="27.75" customHeight="1" thickBot="1" x14ac:dyDescent="0.35">
      <c r="B2" s="51" t="s">
        <v>10</v>
      </c>
      <c r="C2" s="52" t="s">
        <v>12</v>
      </c>
      <c r="D2" s="52" t="s">
        <v>11</v>
      </c>
      <c r="E2" s="56" t="s">
        <v>13</v>
      </c>
      <c r="F2" s="20" t="s">
        <v>15</v>
      </c>
      <c r="G2" s="20" t="s">
        <v>14</v>
      </c>
      <c r="H2" s="20" t="s">
        <v>16</v>
      </c>
      <c r="I2" s="20" t="s">
        <v>31</v>
      </c>
      <c r="J2" s="20" t="s">
        <v>45</v>
      </c>
      <c r="K2" s="20" t="s">
        <v>32</v>
      </c>
      <c r="L2" s="20" t="s">
        <v>47</v>
      </c>
      <c r="M2" s="20" t="s">
        <v>46</v>
      </c>
      <c r="N2" s="20" t="s">
        <v>52</v>
      </c>
      <c r="O2" s="20" t="s">
        <v>50</v>
      </c>
    </row>
    <row r="3" spans="2:15" x14ac:dyDescent="0.3">
      <c r="B3" s="53" t="s">
        <v>0</v>
      </c>
      <c r="C3" s="54">
        <v>5</v>
      </c>
      <c r="D3" s="47">
        <v>10800000</v>
      </c>
      <c r="E3" s="48">
        <v>900000</v>
      </c>
      <c r="F3" s="4">
        <f>C3</f>
        <v>5</v>
      </c>
      <c r="G3" s="27">
        <f>D3+E3</f>
        <v>11700000</v>
      </c>
      <c r="H3" s="12">
        <f>E3/D3</f>
        <v>8.3333333333333329E-2</v>
      </c>
      <c r="I3" s="21">
        <f>D3+D3*H3</f>
        <v>11700000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5" t="s">
        <v>1</v>
      </c>
      <c r="C4" s="7">
        <v>4</v>
      </c>
      <c r="D4" s="49">
        <v>12150000</v>
      </c>
      <c r="E4" s="32">
        <v>1080000</v>
      </c>
      <c r="F4" s="4">
        <f t="shared" ref="F4:F12" si="0">C4</f>
        <v>4</v>
      </c>
      <c r="G4" s="27">
        <f t="shared" ref="G4:G12" si="1">D4+E4</f>
        <v>13230000</v>
      </c>
      <c r="H4" s="12">
        <f t="shared" ref="H4:H12" si="2">E4/D4</f>
        <v>8.8888888888888892E-2</v>
      </c>
      <c r="I4" s="21">
        <f t="shared" ref="I4:I12" si="3">D4+D4*H4</f>
        <v>13230000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5" t="s">
        <v>2</v>
      </c>
      <c r="C5" s="7">
        <v>2</v>
      </c>
      <c r="D5" s="49">
        <v>6750000</v>
      </c>
      <c r="E5" s="32">
        <v>450000</v>
      </c>
      <c r="F5" s="4">
        <f t="shared" si="0"/>
        <v>2</v>
      </c>
      <c r="G5" s="27">
        <f t="shared" si="1"/>
        <v>7200000</v>
      </c>
      <c r="H5" s="12">
        <f t="shared" si="2"/>
        <v>6.6666666666666666E-2</v>
      </c>
      <c r="I5" s="21">
        <f t="shared" si="3"/>
        <v>7200000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5" t="s">
        <v>3</v>
      </c>
      <c r="C6" s="7">
        <v>6</v>
      </c>
      <c r="D6" s="49">
        <v>9900000</v>
      </c>
      <c r="E6" s="32">
        <v>720000</v>
      </c>
      <c r="F6" s="4">
        <f t="shared" si="0"/>
        <v>6</v>
      </c>
      <c r="G6" s="27">
        <f t="shared" si="1"/>
        <v>10620000</v>
      </c>
      <c r="H6" s="12">
        <f t="shared" si="2"/>
        <v>7.2727272727272724E-2</v>
      </c>
      <c r="I6" s="21">
        <f t="shared" si="3"/>
        <v>10620000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5" t="s">
        <v>4</v>
      </c>
      <c r="C7" s="7">
        <v>3</v>
      </c>
      <c r="D7" s="49">
        <v>11250000</v>
      </c>
      <c r="E7" s="32">
        <v>990000</v>
      </c>
      <c r="F7" s="4">
        <f t="shared" si="0"/>
        <v>3</v>
      </c>
      <c r="G7" s="27">
        <f t="shared" si="1"/>
        <v>12240000</v>
      </c>
      <c r="H7" s="12">
        <f t="shared" si="2"/>
        <v>8.7999999999999995E-2</v>
      </c>
      <c r="I7" s="21">
        <f t="shared" si="3"/>
        <v>12240000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5" t="s">
        <v>5</v>
      </c>
      <c r="C8" s="7">
        <v>7</v>
      </c>
      <c r="D8" s="49">
        <v>8100000</v>
      </c>
      <c r="E8" s="32">
        <v>630000</v>
      </c>
      <c r="F8" s="4">
        <f t="shared" si="0"/>
        <v>7</v>
      </c>
      <c r="G8" s="27">
        <f t="shared" si="1"/>
        <v>8730000</v>
      </c>
      <c r="H8" s="12">
        <f t="shared" si="2"/>
        <v>7.7777777777777779E-2</v>
      </c>
      <c r="I8" s="21">
        <f t="shared" si="3"/>
        <v>8730000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5" t="s">
        <v>6</v>
      </c>
      <c r="C9" s="7">
        <v>10</v>
      </c>
      <c r="D9" s="49">
        <v>13500000</v>
      </c>
      <c r="E9" s="32">
        <v>1350000</v>
      </c>
      <c r="F9" s="4">
        <f t="shared" si="0"/>
        <v>10</v>
      </c>
      <c r="G9" s="27">
        <f t="shared" si="1"/>
        <v>14850000</v>
      </c>
      <c r="H9" s="12">
        <f t="shared" si="2"/>
        <v>0.1</v>
      </c>
      <c r="I9" s="21">
        <f t="shared" si="3"/>
        <v>14850000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5" t="s">
        <v>7</v>
      </c>
      <c r="C10" s="7">
        <v>8</v>
      </c>
      <c r="D10" s="49">
        <v>11700000</v>
      </c>
      <c r="E10" s="32">
        <v>1170000</v>
      </c>
      <c r="F10" s="4">
        <f t="shared" si="0"/>
        <v>8</v>
      </c>
      <c r="G10" s="27">
        <f t="shared" si="1"/>
        <v>12870000</v>
      </c>
      <c r="H10" s="12">
        <f t="shared" si="2"/>
        <v>0.1</v>
      </c>
      <c r="I10" s="21">
        <f t="shared" si="3"/>
        <v>12870000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5" t="s">
        <v>8</v>
      </c>
      <c r="C11" s="7">
        <v>3</v>
      </c>
      <c r="D11" s="49">
        <v>12600000</v>
      </c>
      <c r="E11" s="32">
        <v>1260000</v>
      </c>
      <c r="F11" s="4">
        <f t="shared" si="0"/>
        <v>3</v>
      </c>
      <c r="G11" s="27">
        <f t="shared" si="1"/>
        <v>13860000</v>
      </c>
      <c r="H11" s="12">
        <f t="shared" si="2"/>
        <v>0.1</v>
      </c>
      <c r="I11" s="21">
        <f t="shared" si="3"/>
        <v>13860000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8" t="s">
        <v>9</v>
      </c>
      <c r="C12" s="10">
        <v>5</v>
      </c>
      <c r="D12" s="50">
        <v>10350000</v>
      </c>
      <c r="E12" s="29">
        <v>810000</v>
      </c>
      <c r="F12" s="4">
        <f t="shared" si="0"/>
        <v>5</v>
      </c>
      <c r="G12" s="27">
        <f t="shared" si="1"/>
        <v>11160000</v>
      </c>
      <c r="H12" s="12">
        <f t="shared" si="2"/>
        <v>7.8260869565217397E-2</v>
      </c>
      <c r="I12" s="21">
        <f t="shared" si="3"/>
        <v>11160000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5" t="s">
        <v>51</v>
      </c>
    </row>
    <row r="15" spans="2:15" x14ac:dyDescent="0.3">
      <c r="B15" s="22" t="s">
        <v>48</v>
      </c>
      <c r="C15" s="58">
        <v>5</v>
      </c>
    </row>
    <row r="16" spans="2:15" ht="15" thickBot="1" x14ac:dyDescent="0.35">
      <c r="B16" s="57" t="s">
        <v>49</v>
      </c>
      <c r="C16" s="29">
        <v>8100000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Aranav Paul</cp:lastModifiedBy>
  <dcterms:created xsi:type="dcterms:W3CDTF">2024-07-16T20:11:02Z</dcterms:created>
  <dcterms:modified xsi:type="dcterms:W3CDTF">2025-12-09T12:12:43Z</dcterms:modified>
</cp:coreProperties>
</file>